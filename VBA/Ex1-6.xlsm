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30" windowWidth="18195" windowHeight="9795" activeTab="1"/>
  </bookViews>
  <sheets>
    <sheet name="external_csv" sheetId="49" r:id="rId1"/>
    <sheet name="internal_csv" sheetId="48" r:id="rId2"/>
    <sheet name="Sheet29" sheetId="29" r:id="rId3"/>
    <sheet name="Sheet27" sheetId="27" r:id="rId4"/>
    <sheet name="Sheet1" sheetId="1" r:id="rId5"/>
    <sheet name="Sheet2" sheetId="2" r:id="rId6"/>
    <sheet name="Sheet3" sheetId="3" r:id="rId7"/>
    <sheet name="Sheet4" sheetId="4" r:id="rId8"/>
  </sheets>
  <functionGroups builtInGroupCount="17"/>
  <calcPr calcId="145621" calcOnSave="0" concurrentCalc="0"/>
  <pivotCaches>
    <pivotCache cacheId="4" r:id="rId9"/>
    <pivotCache cacheId="21" r:id="rId10"/>
    <pivotCache cacheId="26" r:id="rId11"/>
  </pivotCaches>
</workbook>
</file>

<file path=xl/calcChain.xml><?xml version="1.0" encoding="utf-8"?>
<calcChain xmlns="http://schemas.openxmlformats.org/spreadsheetml/2006/main">
  <c r="N12" i="48" l="1"/>
  <c r="N11" i="48"/>
  <c r="N10" i="48"/>
  <c r="N9" i="48"/>
  <c r="N4" i="48"/>
  <c r="N3" i="48"/>
  <c r="N2" i="48"/>
  <c r="H12" i="1" a="1"/>
  <c r="H12" i="1"/>
  <c r="H13" i="1"/>
  <c r="H14" i="1"/>
  <c r="H15" i="1"/>
  <c r="H16" i="1"/>
  <c r="H17" i="1"/>
  <c r="H18" i="1"/>
  <c r="H8" i="1" a="1"/>
  <c r="H8" i="1"/>
  <c r="H5" i="1"/>
  <c r="H3" i="1"/>
</calcChain>
</file>

<file path=xl/sharedStrings.xml><?xml version="1.0" encoding="utf-8"?>
<sst xmlns="http://schemas.openxmlformats.org/spreadsheetml/2006/main" count="149" uniqueCount="43">
  <si>
    <t>Blotter</t>
  </si>
  <si>
    <t>Currency</t>
  </si>
  <si>
    <t>Contract</t>
  </si>
  <si>
    <t>Position</t>
  </si>
  <si>
    <t>Unit Price</t>
  </si>
  <si>
    <t>USD</t>
  </si>
  <si>
    <t>GBP</t>
  </si>
  <si>
    <t>EUR</t>
  </si>
  <si>
    <t>Jun</t>
  </si>
  <si>
    <t>Sep</t>
  </si>
  <si>
    <t>Dec</t>
  </si>
  <si>
    <t>Mar</t>
  </si>
  <si>
    <t>Row Labels</t>
  </si>
  <si>
    <t>Grand Total</t>
  </si>
  <si>
    <t>Sum of Position</t>
  </si>
  <si>
    <t>Average of Unit Price</t>
  </si>
  <si>
    <t>ID</t>
  </si>
  <si>
    <t>Quantity</t>
  </si>
  <si>
    <t>Price</t>
  </si>
  <si>
    <t>B/S</t>
  </si>
  <si>
    <t>Instrument</t>
  </si>
  <si>
    <t>Expiry</t>
  </si>
  <si>
    <t>Trader</t>
  </si>
  <si>
    <t>TR1</t>
  </si>
  <si>
    <t>B</t>
  </si>
  <si>
    <t>Z</t>
  </si>
  <si>
    <t>John</t>
  </si>
  <si>
    <t>TR2</t>
  </si>
  <si>
    <t>X</t>
  </si>
  <si>
    <t>Paul</t>
  </si>
  <si>
    <t>TR3</t>
  </si>
  <si>
    <t>S</t>
  </si>
  <si>
    <t>TR4</t>
  </si>
  <si>
    <t>David</t>
  </si>
  <si>
    <t>TR5</t>
  </si>
  <si>
    <t>Y</t>
  </si>
  <si>
    <t>Ron</t>
  </si>
  <si>
    <t>TR6</t>
  </si>
  <si>
    <t>TR7</t>
  </si>
  <si>
    <t>Internal</t>
  </si>
  <si>
    <t>Risk</t>
  </si>
  <si>
    <t>External</t>
  </si>
  <si>
    <t>Sum of Risk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</si>
</sst>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17" fontId="0" fillId="0" borderId="0" xfId="0" applyNumberFormat="1"/>
    <xf numFmtId="16" fontId="0" fillId="0" borderId="0" xfId="0" applyNumberFormat="1"/>
    <xf numFmtId="16" fontId="0" fillId="0" borderId="0" xfId="0" applyNumberForma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raham" refreshedDate="42514.747489351852" createdVersion="4" refreshedVersion="4" minRefreshableVersion="3" recordCount="12">
  <cacheSource type="worksheet">
    <worksheetSource ref="B2:E14" sheet="Sheet3"/>
  </cacheSource>
  <cacheFields count="4">
    <cacheField name="Currency" numFmtId="0">
      <sharedItems count="3">
        <s v="USD"/>
        <s v="GBP"/>
        <s v="EUR"/>
      </sharedItems>
    </cacheField>
    <cacheField name="Contract" numFmtId="0">
      <sharedItems count="4">
        <s v="Jun"/>
        <s v="Sep"/>
        <s v="Dec"/>
        <s v="Mar"/>
      </sharedItems>
    </cacheField>
    <cacheField name="Position" numFmtId="0">
      <sharedItems containsSemiMixedTypes="0" containsString="0" containsNumber="1" containsInteger="1" minValue="5" maxValue="400"/>
    </cacheField>
    <cacheField name="Unit Price" numFmtId="0">
      <sharedItems containsSemiMixedTypes="0" containsString="0" containsNumber="1" minValue="97.2" maxValue="99.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raham" refreshedDate="42515.948118518521" createdVersion="4" refreshedVersion="4" minRefreshableVersion="3" recordCount="7">
  <cacheSource type="worksheet">
    <worksheetSource ref="A1:H8" sheet="internal_csv"/>
  </cacheSource>
  <cacheFields count="8">
    <cacheField name="ID" numFmtId="0">
      <sharedItems/>
    </cacheField>
    <cacheField name="Quantity" numFmtId="0">
      <sharedItems containsSemiMixedTypes="0" containsString="0" containsNumber="1" containsInteger="1" minValue="25" maxValue="240"/>
    </cacheField>
    <cacheField name="Price" numFmtId="0">
      <sharedItems containsSemiMixedTypes="0" containsString="0" containsNumber="1" minValue="98.75" maxValue="99.95"/>
    </cacheField>
    <cacheField name="B/S" numFmtId="0">
      <sharedItems/>
    </cacheField>
    <cacheField name="Instrument" numFmtId="0">
      <sharedItems count="3">
        <s v="Z"/>
        <s v="X"/>
        <s v="Y"/>
      </sharedItems>
    </cacheField>
    <cacheField name="Expiry" numFmtId="16">
      <sharedItems containsSemiMixedTypes="0" containsNonDate="0" containsDate="1" containsString="0" minDate="2016-03-17T00:00:00" maxDate="2016-12-17T00:00:00" count="4">
        <d v="2016-06-16T00:00:00"/>
        <d v="2016-09-16T00:00:00"/>
        <d v="2016-12-16T00:00:00"/>
        <d v="2016-03-17T00:00:00"/>
      </sharedItems>
    </cacheField>
    <cacheField name="Trader" numFmtId="0">
      <sharedItems/>
    </cacheField>
    <cacheField name="Risk" numFmtId="0">
      <sharedItems containsSemiMixedTypes="0" containsString="0" containsNumber="1" minValue="-23700" maxValue="22488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Graham" refreshedDate="42515.948690277779" createdVersion="4" refreshedVersion="4" minRefreshableVersion="3" recordCount="4">
  <cacheSource type="worksheet">
    <worksheetSource ref="A1:C5" sheet="external_csv"/>
  </cacheSource>
  <cacheFields count="3">
    <cacheField name="Instrument" numFmtId="0">
      <sharedItems count="3">
        <s v="X"/>
        <s v="Y"/>
        <s v="Z"/>
      </sharedItems>
    </cacheField>
    <cacheField name="Expiry" numFmtId="16">
      <sharedItems containsSemiMixedTypes="0" containsNonDate="0" containsDate="1" containsString="0" minDate="2016-03-17T00:00:00" maxDate="2016-12-17T00:00:00" count="4">
        <d v="2016-09-16T00:00:00"/>
        <d v="2016-03-17T00:00:00"/>
        <d v="2016-06-16T00:00:00"/>
        <d v="2016-12-16T00:00:00"/>
      </sharedItems>
    </cacheField>
    <cacheField name="Risk" numFmtId="0">
      <sharedItems containsSemiMixedTypes="0" containsString="0" containsNumber="1" minValue="-9514.2000000000007" maxValue="22488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">
  <r>
    <x v="0"/>
    <x v="0"/>
    <n v="5"/>
    <n v="99.5"/>
  </r>
  <r>
    <x v="0"/>
    <x v="1"/>
    <n v="12"/>
    <n v="99.45"/>
  </r>
  <r>
    <x v="0"/>
    <x v="2"/>
    <n v="5"/>
    <n v="99.51"/>
  </r>
  <r>
    <x v="1"/>
    <x v="1"/>
    <n v="10"/>
    <n v="97.2"/>
  </r>
  <r>
    <x v="0"/>
    <x v="1"/>
    <n v="99"/>
    <n v="99.38"/>
  </r>
  <r>
    <x v="0"/>
    <x v="2"/>
    <n v="23"/>
    <n v="99.38"/>
  </r>
  <r>
    <x v="0"/>
    <x v="2"/>
    <n v="99"/>
    <n v="99.41"/>
  </r>
  <r>
    <x v="2"/>
    <x v="0"/>
    <n v="400"/>
    <n v="99.83"/>
  </r>
  <r>
    <x v="0"/>
    <x v="3"/>
    <n v="45"/>
    <n v="99.55"/>
  </r>
  <r>
    <x v="2"/>
    <x v="2"/>
    <n v="200"/>
    <n v="99.81"/>
  </r>
  <r>
    <x v="0"/>
    <x v="0"/>
    <n v="9"/>
    <n v="99.53"/>
  </r>
  <r>
    <x v="1"/>
    <x v="2"/>
    <n v="5"/>
    <n v="97.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">
  <r>
    <s v="TR1"/>
    <n v="225"/>
    <n v="99.95"/>
    <s v="B"/>
    <x v="0"/>
    <x v="0"/>
    <s v="John"/>
    <n v="22488.75"/>
  </r>
  <r>
    <s v="TR2"/>
    <n v="142"/>
    <n v="99.85"/>
    <s v="B"/>
    <x v="1"/>
    <x v="1"/>
    <s v="Paul"/>
    <n v="14178.699999999999"/>
  </r>
  <r>
    <s v="TR3"/>
    <n v="240"/>
    <n v="98.75"/>
    <s v="S"/>
    <x v="1"/>
    <x v="1"/>
    <s v="John"/>
    <n v="-23700"/>
  </r>
  <r>
    <s v="TR4"/>
    <n v="150"/>
    <n v="99.25"/>
    <s v="B"/>
    <x v="0"/>
    <x v="2"/>
    <s v="David"/>
    <n v="14887.5"/>
  </r>
  <r>
    <s v="TR5"/>
    <n v="95"/>
    <n v="99.55"/>
    <s v="S"/>
    <x v="2"/>
    <x v="3"/>
    <s v="Ron"/>
    <n v="-9457.25"/>
  </r>
  <r>
    <s v="TR6"/>
    <n v="100"/>
    <n v="99.95"/>
    <s v="S"/>
    <x v="0"/>
    <x v="2"/>
    <s v="Paul"/>
    <n v="-9995"/>
  </r>
  <r>
    <s v="TR7"/>
    <n v="25"/>
    <n v="99"/>
    <s v="S"/>
    <x v="0"/>
    <x v="2"/>
    <s v="John"/>
    <n v="-247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4">
  <r>
    <x v="0"/>
    <x v="0"/>
    <n v="-9514.2000000000007"/>
  </r>
  <r>
    <x v="1"/>
    <x v="1"/>
    <n v="-9457.25"/>
  </r>
  <r>
    <x v="2"/>
    <x v="2"/>
    <n v="22488.75"/>
  </r>
  <r>
    <x v="2"/>
    <x v="3"/>
    <n v="2417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0" cacheId="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8:L13" firstHeaderRow="1" firstDataRow="1" firstDataCol="1"/>
  <pivotFields count="3">
    <pivotField showAll="0"/>
    <pivotField axis="axisRow" numFmtId="16" showAll="0">
      <items count="5">
        <item x="1"/>
        <item x="2"/>
        <item x="0"/>
        <item x="3"/>
        <item t="default"/>
      </items>
    </pivotField>
    <pivotField dataField="1" showAll="0"/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Risk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9" cacheId="26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1:L5" firstHeaderRow="1" firstDataRow="1" firstDataCol="1"/>
  <pivotFields count="3">
    <pivotField axis="axisRow" showAll="0">
      <items count="4">
        <item x="0"/>
        <item x="1"/>
        <item x="2"/>
        <item t="default"/>
      </items>
    </pivotField>
    <pivotField numFmtId="16" showAll="0"/>
    <pivotField dataField="1"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Risk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8" cacheId="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8:L13" firstHeaderRow="1" firstDataRow="1" firstDataCol="1"/>
  <pivotFields count="8">
    <pivotField showAll="0"/>
    <pivotField showAll="0"/>
    <pivotField showAll="0"/>
    <pivotField showAll="0"/>
    <pivotField showAll="0"/>
    <pivotField axis="axisRow" numFmtId="16" showAll="0">
      <items count="5">
        <item x="3"/>
        <item x="0"/>
        <item x="1"/>
        <item x="2"/>
        <item t="default"/>
      </items>
    </pivotField>
    <pivotField showAll="0"/>
    <pivotField dataField="1"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Risk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7" cacheId="2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K1:L5" firstHeaderRow="1" firstDataRow="1" firstDataCol="1"/>
  <pivotFields count="8">
    <pivotField showAll="0"/>
    <pivotField showAll="0"/>
    <pivotField showAll="0"/>
    <pivotField showAll="0"/>
    <pivotField axis="axisRow" showAll="0">
      <items count="4">
        <item x="1"/>
        <item x="2"/>
        <item x="0"/>
        <item t="default"/>
      </items>
    </pivotField>
    <pivotField numFmtId="16" showAll="0"/>
    <pivotField showAll="0"/>
    <pivotField dataField="1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Risk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rowHeaderCaption="Currency">
  <location ref="G11:H14" firstHeaderRow="1" firstDataRow="1" firstDataCol="1"/>
  <pivotFields count="4">
    <pivotField axis="axisRow" showAll="0" sortType="descending">
      <items count="4">
        <item x="0"/>
        <item x="1"/>
        <item x="2"/>
        <item t="default"/>
      </items>
    </pivotField>
    <pivotField showAll="0"/>
    <pivotField showAll="0"/>
    <pivotField dataField="1" showAll="0"/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Average of Unit Price" fld="3" subtotal="average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missingCaption="0" updatedVersion="4" minRefreshableVersion="3" useAutoFormatting="1" rowGrandTotals="0" colGrandTotals="0" itemPrintTitles="1" createdVersion="4" indent="0" outline="1" outlineData="1" multipleFieldFilters="0" rowHeaderCaption="Currency" colHeaderCaption="Contract">
  <location ref="G3:K7" firstHeaderRow="1" firstDataRow="2" firstDataCol="1"/>
  <pivotFields count="4">
    <pivotField axis="axisRow" showAll="0" sortType="descending">
      <items count="4">
        <item x="0"/>
        <item x="1"/>
        <item x="2"/>
        <item t="default"/>
      </items>
    </pivotField>
    <pivotField axis="axisCol" showAll="0">
      <items count="5">
        <item x="3"/>
        <item x="0"/>
        <item x="1"/>
        <item x="2"/>
        <item t="default"/>
      </items>
    </pivotField>
    <pivotField dataField="1" showAll="0"/>
    <pivotField showAll="0"/>
  </pivotFields>
  <rowFields count="1">
    <field x="0"/>
  </rowFields>
  <rowItems count="3">
    <i>
      <x/>
    </i>
    <i>
      <x v="1"/>
    </i>
    <i>
      <x v="2"/>
    </i>
  </rowItems>
  <colFields count="1">
    <field x="1"/>
  </colFields>
  <colItems count="4">
    <i>
      <x/>
    </i>
    <i>
      <x v="1"/>
    </i>
    <i>
      <x v="2"/>
    </i>
    <i>
      <x v="3"/>
    </i>
  </colItems>
  <dataFields count="1">
    <dataField name="Sum of Position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3"/>
  <sheetViews>
    <sheetView workbookViewId="0">
      <selection activeCell="K8" sqref="K8"/>
    </sheetView>
  </sheetViews>
  <sheetFormatPr defaultRowHeight="15" x14ac:dyDescent="0.25"/>
  <cols>
    <col min="11" max="11" width="13.140625" bestFit="1" customWidth="1"/>
    <col min="12" max="12" width="11.140625" bestFit="1" customWidth="1"/>
  </cols>
  <sheetData>
    <row r="1" spans="1:12" x14ac:dyDescent="0.25">
      <c r="A1" t="s">
        <v>20</v>
      </c>
      <c r="B1" t="s">
        <v>21</v>
      </c>
      <c r="C1" t="s">
        <v>40</v>
      </c>
      <c r="K1" s="1" t="s">
        <v>12</v>
      </c>
      <c r="L1" t="s">
        <v>42</v>
      </c>
    </row>
    <row r="2" spans="1:12" x14ac:dyDescent="0.25">
      <c r="A2" t="s">
        <v>28</v>
      </c>
      <c r="B2" s="6">
        <v>42629</v>
      </c>
      <c r="C2">
        <v>-9514.2000000000007</v>
      </c>
      <c r="K2" s="2" t="s">
        <v>28</v>
      </c>
      <c r="L2" s="3">
        <v>-9514.2000000000007</v>
      </c>
    </row>
    <row r="3" spans="1:12" x14ac:dyDescent="0.25">
      <c r="A3" t="s">
        <v>35</v>
      </c>
      <c r="B3" s="6">
        <v>42446</v>
      </c>
      <c r="C3">
        <v>-9457.25</v>
      </c>
      <c r="K3" s="2" t="s">
        <v>35</v>
      </c>
      <c r="L3" s="3">
        <v>-9457.25</v>
      </c>
    </row>
    <row r="4" spans="1:12" x14ac:dyDescent="0.25">
      <c r="A4" t="s">
        <v>25</v>
      </c>
      <c r="B4" s="6">
        <v>42537</v>
      </c>
      <c r="C4">
        <v>22488.75</v>
      </c>
      <c r="K4" s="2" t="s">
        <v>25</v>
      </c>
      <c r="L4" s="3">
        <v>24906.25</v>
      </c>
    </row>
    <row r="5" spans="1:12" x14ac:dyDescent="0.25">
      <c r="A5" t="s">
        <v>25</v>
      </c>
      <c r="B5" s="6">
        <v>42720</v>
      </c>
      <c r="C5">
        <v>2417.5</v>
      </c>
      <c r="K5" s="2" t="s">
        <v>13</v>
      </c>
      <c r="L5" s="3">
        <v>5934.7999999999993</v>
      </c>
    </row>
    <row r="8" spans="1:12" x14ac:dyDescent="0.25">
      <c r="K8" s="1" t="s">
        <v>12</v>
      </c>
      <c r="L8" t="s">
        <v>42</v>
      </c>
    </row>
    <row r="9" spans="1:12" x14ac:dyDescent="0.25">
      <c r="K9" s="7">
        <v>42446</v>
      </c>
      <c r="L9" s="3">
        <v>-9457.25</v>
      </c>
    </row>
    <row r="10" spans="1:12" x14ac:dyDescent="0.25">
      <c r="K10" s="7">
        <v>42537</v>
      </c>
      <c r="L10" s="3">
        <v>22488.75</v>
      </c>
    </row>
    <row r="11" spans="1:12" x14ac:dyDescent="0.25">
      <c r="K11" s="7">
        <v>42629</v>
      </c>
      <c r="L11" s="3">
        <v>-9514.2000000000007</v>
      </c>
    </row>
    <row r="12" spans="1:12" x14ac:dyDescent="0.25">
      <c r="K12" s="7">
        <v>42720</v>
      </c>
      <c r="L12" s="3">
        <v>2417.5</v>
      </c>
    </row>
    <row r="13" spans="1:12" x14ac:dyDescent="0.25">
      <c r="K13" s="7" t="s">
        <v>13</v>
      </c>
      <c r="L13" s="3">
        <v>5934.7999999999993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N13"/>
  <sheetViews>
    <sheetView tabSelected="1" workbookViewId="0">
      <selection activeCell="N13" sqref="N13"/>
    </sheetView>
  </sheetViews>
  <sheetFormatPr defaultRowHeight="15" x14ac:dyDescent="0.25"/>
  <cols>
    <col min="11" max="11" width="13.140625" bestFit="1" customWidth="1"/>
    <col min="12" max="12" width="11.140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40</v>
      </c>
      <c r="K1" s="1" t="s">
        <v>12</v>
      </c>
      <c r="L1" t="s">
        <v>42</v>
      </c>
    </row>
    <row r="2" spans="1:14" x14ac:dyDescent="0.25">
      <c r="A2" t="s">
        <v>23</v>
      </c>
      <c r="B2">
        <v>225</v>
      </c>
      <c r="C2">
        <v>99.95</v>
      </c>
      <c r="D2" t="s">
        <v>24</v>
      </c>
      <c r="E2" t="s">
        <v>25</v>
      </c>
      <c r="F2" s="6">
        <v>42537</v>
      </c>
      <c r="G2" t="s">
        <v>26</v>
      </c>
      <c r="H2">
        <v>22488.75</v>
      </c>
      <c r="K2" s="2" t="s">
        <v>28</v>
      </c>
      <c r="L2" s="3">
        <v>-9521.3000000000011</v>
      </c>
      <c r="N2">
        <f>GETPIVOTDATA("Risk",$K$1,"Instrument","X")-GETPIVOTDATA("Risk",external_csv!$K$1,"Instrument","X")</f>
        <v>-7.1000000000003638</v>
      </c>
    </row>
    <row r="3" spans="1:14" x14ac:dyDescent="0.25">
      <c r="A3" t="s">
        <v>27</v>
      </c>
      <c r="B3">
        <v>142</v>
      </c>
      <c r="C3">
        <v>99.85</v>
      </c>
      <c r="D3" t="s">
        <v>24</v>
      </c>
      <c r="E3" t="s">
        <v>28</v>
      </c>
      <c r="F3" s="6">
        <v>42629</v>
      </c>
      <c r="G3" t="s">
        <v>29</v>
      </c>
      <c r="H3">
        <v>14178.699999999999</v>
      </c>
      <c r="K3" s="2" t="s">
        <v>35</v>
      </c>
      <c r="L3" s="3">
        <v>-9457.25</v>
      </c>
      <c r="N3">
        <f>GETPIVOTDATA("Risk",$K$1,"Instrument","Y")-GETPIVOTDATA("Risk",external_csv!$K$1,"Instrument","Y")</f>
        <v>0</v>
      </c>
    </row>
    <row r="4" spans="1:14" x14ac:dyDescent="0.25">
      <c r="A4" t="s">
        <v>30</v>
      </c>
      <c r="B4">
        <v>240</v>
      </c>
      <c r="C4">
        <v>98.75</v>
      </c>
      <c r="D4" t="s">
        <v>31</v>
      </c>
      <c r="E4" t="s">
        <v>28</v>
      </c>
      <c r="F4" s="6">
        <v>42629</v>
      </c>
      <c r="G4" t="s">
        <v>26</v>
      </c>
      <c r="H4">
        <v>-23700</v>
      </c>
      <c r="K4" s="2" t="s">
        <v>25</v>
      </c>
      <c r="L4" s="3">
        <v>24906.25</v>
      </c>
      <c r="N4">
        <f>GETPIVOTDATA("Risk",$K$1,"Instrument","Z")-GETPIVOTDATA("Risk",external_csv!$K$1,"Instrument","Z")</f>
        <v>0</v>
      </c>
    </row>
    <row r="5" spans="1:14" x14ac:dyDescent="0.25">
      <c r="A5" t="s">
        <v>32</v>
      </c>
      <c r="B5">
        <v>150</v>
      </c>
      <c r="C5">
        <v>99.25</v>
      </c>
      <c r="D5" t="s">
        <v>24</v>
      </c>
      <c r="E5" t="s">
        <v>25</v>
      </c>
      <c r="F5" s="6">
        <v>42720</v>
      </c>
      <c r="G5" t="s">
        <v>33</v>
      </c>
      <c r="H5">
        <v>14887.5</v>
      </c>
      <c r="K5" s="2" t="s">
        <v>13</v>
      </c>
      <c r="L5" s="3">
        <v>5927.6999999999971</v>
      </c>
    </row>
    <row r="6" spans="1:14" x14ac:dyDescent="0.25">
      <c r="A6" t="s">
        <v>34</v>
      </c>
      <c r="B6">
        <v>95</v>
      </c>
      <c r="C6">
        <v>99.55</v>
      </c>
      <c r="D6" t="s">
        <v>31</v>
      </c>
      <c r="E6" t="s">
        <v>35</v>
      </c>
      <c r="F6" s="6">
        <v>42446</v>
      </c>
      <c r="G6" t="s">
        <v>36</v>
      </c>
      <c r="H6">
        <v>-9457.25</v>
      </c>
    </row>
    <row r="7" spans="1:14" x14ac:dyDescent="0.25">
      <c r="A7" t="s">
        <v>37</v>
      </c>
      <c r="B7">
        <v>100</v>
      </c>
      <c r="C7">
        <v>99.95</v>
      </c>
      <c r="D7" t="s">
        <v>31</v>
      </c>
      <c r="E7" t="s">
        <v>25</v>
      </c>
      <c r="F7" s="6">
        <v>42720</v>
      </c>
      <c r="G7" t="s">
        <v>29</v>
      </c>
      <c r="H7">
        <v>-9995</v>
      </c>
    </row>
    <row r="8" spans="1:14" x14ac:dyDescent="0.25">
      <c r="A8" t="s">
        <v>38</v>
      </c>
      <c r="B8">
        <v>25</v>
      </c>
      <c r="C8">
        <v>99</v>
      </c>
      <c r="D8" t="s">
        <v>31</v>
      </c>
      <c r="E8" t="s">
        <v>25</v>
      </c>
      <c r="F8" s="6">
        <v>42720</v>
      </c>
      <c r="G8" t="s">
        <v>26</v>
      </c>
      <c r="H8">
        <v>-2475</v>
      </c>
      <c r="K8" s="1" t="s">
        <v>12</v>
      </c>
      <c r="L8" t="s">
        <v>42</v>
      </c>
    </row>
    <row r="9" spans="1:14" x14ac:dyDescent="0.25">
      <c r="K9" s="7">
        <v>42446</v>
      </c>
      <c r="L9" s="3">
        <v>-9457.25</v>
      </c>
      <c r="N9">
        <f>GETPIVOTDATA("Risk",$K$8,"Expiry",DATE(2016,3,17))-GETPIVOTDATA("Risk",external_csv!$K$8,"Expiry",DATE(2016,3,17))</f>
        <v>0</v>
      </c>
    </row>
    <row r="10" spans="1:14" x14ac:dyDescent="0.25">
      <c r="K10" s="7">
        <v>42537</v>
      </c>
      <c r="L10" s="3">
        <v>22488.75</v>
      </c>
      <c r="N10">
        <f>GETPIVOTDATA("Risk",$K$8,"Expiry",DATE(2016,6,16))-GETPIVOTDATA("Risk",external_csv!$K$8,"Expiry",DATE(2016,6,16))</f>
        <v>0</v>
      </c>
    </row>
    <row r="11" spans="1:14" x14ac:dyDescent="0.25">
      <c r="K11" s="7">
        <v>42629</v>
      </c>
      <c r="L11" s="3">
        <v>-9521.3000000000011</v>
      </c>
      <c r="N11">
        <f>GETPIVOTDATA("Risk",$K$8,"Expiry",DATE(2016,9,16))-GETPIVOTDATA("Risk",external_csv!$K$8,"Expiry",DATE(2016,9,16))</f>
        <v>-7.1000000000003638</v>
      </c>
    </row>
    <row r="12" spans="1:14" x14ac:dyDescent="0.25">
      <c r="K12" s="7">
        <v>42720</v>
      </c>
      <c r="L12" s="3">
        <v>2417.5</v>
      </c>
      <c r="N12">
        <f>GETPIVOTDATA("Risk",$K$8,"Expiry",DATE(2016,12,16))-GETPIVOTDATA("Risk",external_csv!$K$8,"Expiry",DATE(2016,12,16))</f>
        <v>0</v>
      </c>
    </row>
    <row r="13" spans="1:14" x14ac:dyDescent="0.25">
      <c r="K13" s="7" t="s">
        <v>13</v>
      </c>
      <c r="L13" s="3">
        <v>5927.6999999999989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8"/>
  <sheetViews>
    <sheetView workbookViewId="0">
      <selection activeCell="H12" sqref="H12:H18"/>
    </sheetView>
  </sheetViews>
  <sheetFormatPr defaultRowHeight="15" x14ac:dyDescent="0.25"/>
  <sheetData>
    <row r="1" spans="1:11" x14ac:dyDescent="0.25">
      <c r="A1">
        <v>1</v>
      </c>
      <c r="B1">
        <v>2</v>
      </c>
      <c r="C1">
        <v>3</v>
      </c>
      <c r="D1">
        <v>4</v>
      </c>
      <c r="E1">
        <v>5</v>
      </c>
      <c r="K1">
        <v>1</v>
      </c>
    </row>
    <row r="2" spans="1:11" x14ac:dyDescent="0.25">
      <c r="A2">
        <v>1</v>
      </c>
      <c r="B2">
        <v>2</v>
      </c>
      <c r="C2">
        <v>3</v>
      </c>
      <c r="D2">
        <v>4</v>
      </c>
      <c r="E2">
        <v>5</v>
      </c>
      <c r="K2">
        <v>2</v>
      </c>
    </row>
    <row r="3" spans="1:11" x14ac:dyDescent="0.25">
      <c r="A3">
        <v>1</v>
      </c>
      <c r="B3">
        <v>2</v>
      </c>
      <c r="C3">
        <v>3</v>
      </c>
      <c r="D3">
        <v>4</v>
      </c>
      <c r="E3">
        <v>5</v>
      </c>
      <c r="H3">
        <f>SUMIF(A1:D5, MOD(A1:D5,2))</f>
        <v>0</v>
      </c>
      <c r="K3">
        <v>3</v>
      </c>
    </row>
    <row r="4" spans="1:11" x14ac:dyDescent="0.25">
      <c r="A4">
        <v>1</v>
      </c>
      <c r="B4">
        <v>2</v>
      </c>
      <c r="C4">
        <v>3</v>
      </c>
      <c r="D4">
        <v>4</v>
      </c>
      <c r="E4">
        <v>5</v>
      </c>
      <c r="K4">
        <v>4</v>
      </c>
    </row>
    <row r="5" spans="1:11" x14ac:dyDescent="0.25">
      <c r="A5">
        <v>1</v>
      </c>
      <c r="B5">
        <v>2</v>
      </c>
      <c r="C5">
        <v>3</v>
      </c>
      <c r="D5">
        <v>4</v>
      </c>
      <c r="E5">
        <v>5</v>
      </c>
      <c r="H5">
        <f>sum_range(A1:D5)</f>
        <v>30</v>
      </c>
    </row>
    <row r="6" spans="1:11" x14ac:dyDescent="0.25">
      <c r="A6">
        <v>1</v>
      </c>
      <c r="B6">
        <v>2</v>
      </c>
      <c r="C6">
        <v>3</v>
      </c>
      <c r="D6">
        <v>4</v>
      </c>
      <c r="E6">
        <v>5</v>
      </c>
    </row>
    <row r="7" spans="1:11" x14ac:dyDescent="0.25">
      <c r="A7">
        <v>1</v>
      </c>
      <c r="B7">
        <v>2</v>
      </c>
      <c r="C7">
        <v>3</v>
      </c>
      <c r="D7">
        <v>4</v>
      </c>
      <c r="E7">
        <v>5</v>
      </c>
    </row>
    <row r="8" spans="1:11" x14ac:dyDescent="0.25">
      <c r="A8">
        <v>1</v>
      </c>
      <c r="B8">
        <v>2</v>
      </c>
      <c r="C8">
        <v>3</v>
      </c>
      <c r="D8">
        <v>4</v>
      </c>
      <c r="E8">
        <v>5</v>
      </c>
      <c r="H8">
        <f t="array" ref="H8">SUM(A1:E8)</f>
        <v>120</v>
      </c>
    </row>
    <row r="12" spans="1:11" x14ac:dyDescent="0.25">
      <c r="H12">
        <f t="array" ref="H12:H18">TRANSPOSE(A1:E1)</f>
        <v>1</v>
      </c>
    </row>
    <row r="13" spans="1:11" x14ac:dyDescent="0.25">
      <c r="H13">
        <v>2</v>
      </c>
    </row>
    <row r="14" spans="1:11" x14ac:dyDescent="0.25">
      <c r="H14">
        <v>3</v>
      </c>
    </row>
    <row r="15" spans="1:11" x14ac:dyDescent="0.25">
      <c r="H15">
        <v>4</v>
      </c>
    </row>
    <row r="16" spans="1:11" x14ac:dyDescent="0.25">
      <c r="H16">
        <v>5</v>
      </c>
    </row>
    <row r="17" spans="8:8" x14ac:dyDescent="0.25">
      <c r="H17" t="e">
        <v>#N/A</v>
      </c>
    </row>
    <row r="18" spans="8:8" x14ac:dyDescent="0.25">
      <c r="H18" t="e">
        <v>#N/A</v>
      </c>
    </row>
  </sheetData>
  <dataConsolidate/>
  <pageMargins left="0.7" right="0.7" top="0.75" bottom="0.75" header="0.3" footer="0.3"/>
  <pageSetup paperSize="9" orientation="portrait" horizontalDpi="4294967294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27"/>
  <sheetViews>
    <sheetView workbookViewId="0">
      <selection activeCell="H12" sqref="H12"/>
    </sheetView>
  </sheetViews>
  <sheetFormatPr defaultRowHeight="15" x14ac:dyDescent="0.25"/>
  <sheetData>
    <row r="2" spans="2:13" x14ac:dyDescent="0.25">
      <c r="B2">
        <v>8</v>
      </c>
      <c r="C2">
        <v>5</v>
      </c>
      <c r="D2">
        <v>9</v>
      </c>
      <c r="E2">
        <v>6</v>
      </c>
      <c r="F2">
        <v>0</v>
      </c>
      <c r="G2">
        <v>3</v>
      </c>
      <c r="H2">
        <v>7</v>
      </c>
      <c r="I2">
        <v>8</v>
      </c>
      <c r="J2">
        <v>2</v>
      </c>
      <c r="K2">
        <v>40</v>
      </c>
      <c r="M2">
        <v>88</v>
      </c>
    </row>
    <row r="4" spans="2:13" x14ac:dyDescent="0.25">
      <c r="B4">
        <v>3</v>
      </c>
      <c r="C4">
        <v>5</v>
      </c>
      <c r="D4">
        <v>11</v>
      </c>
      <c r="E4">
        <v>9</v>
      </c>
      <c r="F4">
        <v>6</v>
      </c>
      <c r="G4">
        <v>4</v>
      </c>
      <c r="H4">
        <v>5</v>
      </c>
      <c r="I4">
        <v>1</v>
      </c>
      <c r="J4">
        <v>8</v>
      </c>
      <c r="K4">
        <v>34</v>
      </c>
      <c r="M4">
        <v>174</v>
      </c>
    </row>
    <row r="6" spans="2:13" x14ac:dyDescent="0.25">
      <c r="B6">
        <v>8</v>
      </c>
    </row>
    <row r="7" spans="2:13" x14ac:dyDescent="0.25">
      <c r="B7">
        <v>5</v>
      </c>
    </row>
    <row r="8" spans="2:13" x14ac:dyDescent="0.25">
      <c r="B8">
        <v>9</v>
      </c>
    </row>
    <row r="9" spans="2:13" x14ac:dyDescent="0.25">
      <c r="B9">
        <v>6</v>
      </c>
    </row>
    <row r="10" spans="2:13" x14ac:dyDescent="0.25">
      <c r="B10">
        <v>0</v>
      </c>
    </row>
    <row r="11" spans="2:13" x14ac:dyDescent="0.25">
      <c r="B11">
        <v>3</v>
      </c>
    </row>
    <row r="12" spans="2:13" x14ac:dyDescent="0.25">
      <c r="B12">
        <v>7</v>
      </c>
    </row>
    <row r="13" spans="2:13" x14ac:dyDescent="0.25">
      <c r="B13">
        <v>8</v>
      </c>
    </row>
    <row r="14" spans="2:13" x14ac:dyDescent="0.25">
      <c r="B14">
        <v>2</v>
      </c>
    </row>
    <row r="15" spans="2:13" x14ac:dyDescent="0.25">
      <c r="B15">
        <v>40</v>
      </c>
    </row>
    <row r="16" spans="2:13" x14ac:dyDescent="0.25">
      <c r="B16">
        <v>3</v>
      </c>
    </row>
    <row r="17" spans="2:2" x14ac:dyDescent="0.25">
      <c r="B17">
        <v>5</v>
      </c>
    </row>
    <row r="18" spans="2:2" x14ac:dyDescent="0.25">
      <c r="B18">
        <v>11</v>
      </c>
    </row>
    <row r="19" spans="2:2" x14ac:dyDescent="0.25">
      <c r="B19">
        <v>9</v>
      </c>
    </row>
    <row r="20" spans="2:2" x14ac:dyDescent="0.25">
      <c r="B20">
        <v>6</v>
      </c>
    </row>
    <row r="21" spans="2:2" x14ac:dyDescent="0.25">
      <c r="B21">
        <v>4</v>
      </c>
    </row>
    <row r="22" spans="2:2" x14ac:dyDescent="0.25">
      <c r="B22">
        <v>5</v>
      </c>
    </row>
    <row r="23" spans="2:2" x14ac:dyDescent="0.25">
      <c r="B23">
        <v>1</v>
      </c>
    </row>
    <row r="24" spans="2:2" x14ac:dyDescent="0.25">
      <c r="B24">
        <v>8</v>
      </c>
    </row>
    <row r="25" spans="2:2" x14ac:dyDescent="0.25">
      <c r="B25">
        <v>34</v>
      </c>
    </row>
    <row r="27" spans="2:2" x14ac:dyDescent="0.25">
      <c r="B27">
        <v>174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K14"/>
  <sheetViews>
    <sheetView workbookViewId="0">
      <selection activeCell="H12" sqref="H12"/>
    </sheetView>
  </sheetViews>
  <sheetFormatPr defaultRowHeight="15" x14ac:dyDescent="0.25"/>
  <cols>
    <col min="7" max="7" width="11.140625" customWidth="1"/>
    <col min="8" max="8" width="20" customWidth="1"/>
    <col min="9" max="9" width="4" customWidth="1"/>
    <col min="10" max="11" width="4.28515625" customWidth="1"/>
    <col min="12" max="12" width="11.28515625" bestFit="1" customWidth="1"/>
  </cols>
  <sheetData>
    <row r="1" spans="2:11" x14ac:dyDescent="0.25">
      <c r="B1" t="s">
        <v>0</v>
      </c>
    </row>
    <row r="2" spans="2:11" x14ac:dyDescent="0.25">
      <c r="B2" t="s">
        <v>1</v>
      </c>
      <c r="C2" t="s">
        <v>2</v>
      </c>
      <c r="D2" t="s">
        <v>3</v>
      </c>
      <c r="E2" t="s">
        <v>4</v>
      </c>
    </row>
    <row r="3" spans="2:11" x14ac:dyDescent="0.25">
      <c r="B3" t="s">
        <v>5</v>
      </c>
      <c r="C3" t="s">
        <v>8</v>
      </c>
      <c r="D3">
        <v>5</v>
      </c>
      <c r="E3">
        <v>99.5</v>
      </c>
      <c r="G3" s="1" t="s">
        <v>14</v>
      </c>
      <c r="H3" s="1" t="s">
        <v>2</v>
      </c>
    </row>
    <row r="4" spans="2:11" x14ac:dyDescent="0.25">
      <c r="B4" t="s">
        <v>5</v>
      </c>
      <c r="C4" t="s">
        <v>9</v>
      </c>
      <c r="D4">
        <v>12</v>
      </c>
      <c r="E4">
        <v>99.45</v>
      </c>
      <c r="G4" s="1" t="s">
        <v>1</v>
      </c>
      <c r="H4" t="s">
        <v>11</v>
      </c>
      <c r="I4" t="s">
        <v>8</v>
      </c>
      <c r="J4" t="s">
        <v>9</v>
      </c>
      <c r="K4" t="s">
        <v>10</v>
      </c>
    </row>
    <row r="5" spans="2:11" x14ac:dyDescent="0.25">
      <c r="B5" t="s">
        <v>5</v>
      </c>
      <c r="C5" t="s">
        <v>10</v>
      </c>
      <c r="D5">
        <v>5</v>
      </c>
      <c r="E5">
        <v>99.51</v>
      </c>
      <c r="G5" s="2" t="s">
        <v>5</v>
      </c>
      <c r="H5" s="3">
        <v>45</v>
      </c>
      <c r="I5" s="3">
        <v>14</v>
      </c>
      <c r="J5" s="3">
        <v>111</v>
      </c>
      <c r="K5" s="3">
        <v>127</v>
      </c>
    </row>
    <row r="6" spans="2:11" x14ac:dyDescent="0.25">
      <c r="B6" t="s">
        <v>6</v>
      </c>
      <c r="C6" t="s">
        <v>9</v>
      </c>
      <c r="D6">
        <v>10</v>
      </c>
      <c r="E6">
        <v>97.2</v>
      </c>
      <c r="G6" s="2" t="s">
        <v>6</v>
      </c>
      <c r="H6" s="3">
        <v>0</v>
      </c>
      <c r="I6" s="3">
        <v>0</v>
      </c>
      <c r="J6" s="3">
        <v>10</v>
      </c>
      <c r="K6" s="3">
        <v>5</v>
      </c>
    </row>
    <row r="7" spans="2:11" x14ac:dyDescent="0.25">
      <c r="B7" t="s">
        <v>5</v>
      </c>
      <c r="C7" t="s">
        <v>9</v>
      </c>
      <c r="D7">
        <v>99</v>
      </c>
      <c r="E7">
        <v>99.38</v>
      </c>
      <c r="G7" s="2" t="s">
        <v>7</v>
      </c>
      <c r="H7" s="3">
        <v>0</v>
      </c>
      <c r="I7" s="3">
        <v>400</v>
      </c>
      <c r="J7" s="3">
        <v>0</v>
      </c>
      <c r="K7" s="3">
        <v>200</v>
      </c>
    </row>
    <row r="8" spans="2:11" x14ac:dyDescent="0.25">
      <c r="B8" t="s">
        <v>5</v>
      </c>
      <c r="C8" t="s">
        <v>10</v>
      </c>
      <c r="D8">
        <v>23</v>
      </c>
      <c r="E8">
        <v>99.38</v>
      </c>
    </row>
    <row r="9" spans="2:11" x14ac:dyDescent="0.25">
      <c r="B9" t="s">
        <v>5</v>
      </c>
      <c r="C9" t="s">
        <v>10</v>
      </c>
      <c r="D9">
        <v>99</v>
      </c>
      <c r="E9">
        <v>99.41</v>
      </c>
    </row>
    <row r="10" spans="2:11" x14ac:dyDescent="0.25">
      <c r="B10" t="s">
        <v>7</v>
      </c>
      <c r="C10" t="s">
        <v>8</v>
      </c>
      <c r="D10">
        <v>400</v>
      </c>
      <c r="E10">
        <v>99.83</v>
      </c>
    </row>
    <row r="11" spans="2:11" x14ac:dyDescent="0.25">
      <c r="B11" t="s">
        <v>5</v>
      </c>
      <c r="C11" t="s">
        <v>11</v>
      </c>
      <c r="D11">
        <v>45</v>
      </c>
      <c r="E11">
        <v>99.55</v>
      </c>
      <c r="G11" s="1" t="s">
        <v>1</v>
      </c>
      <c r="H11" t="s">
        <v>15</v>
      </c>
    </row>
    <row r="12" spans="2:11" x14ac:dyDescent="0.25">
      <c r="B12" t="s">
        <v>7</v>
      </c>
      <c r="C12" t="s">
        <v>10</v>
      </c>
      <c r="D12">
        <v>200</v>
      </c>
      <c r="E12">
        <v>99.81</v>
      </c>
      <c r="G12" s="2" t="s">
        <v>5</v>
      </c>
      <c r="H12" s="4">
        <v>99.46374999999999</v>
      </c>
    </row>
    <row r="13" spans="2:11" x14ac:dyDescent="0.25">
      <c r="B13" t="s">
        <v>5</v>
      </c>
      <c r="C13" t="s">
        <v>8</v>
      </c>
      <c r="D13">
        <v>9</v>
      </c>
      <c r="E13">
        <v>99.53</v>
      </c>
      <c r="G13" s="2" t="s">
        <v>6</v>
      </c>
      <c r="H13" s="4">
        <v>97.300000000000011</v>
      </c>
    </row>
    <row r="14" spans="2:11" x14ac:dyDescent="0.25">
      <c r="B14" t="s">
        <v>6</v>
      </c>
      <c r="C14" t="s">
        <v>10</v>
      </c>
      <c r="D14">
        <v>5</v>
      </c>
      <c r="E14">
        <v>97.4</v>
      </c>
      <c r="G14" s="2" t="s">
        <v>7</v>
      </c>
      <c r="H14" s="4">
        <v>99.82</v>
      </c>
    </row>
  </sheetData>
  <pageMargins left="0.7" right="0.7" top="0.75" bottom="0.75" header="0.3" footer="0.3"/>
  <pageSetup paperSize="9" orientation="portrait" horizontalDpi="4294967294" verticalDpi="0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7"/>
  <sheetViews>
    <sheetView workbookViewId="0">
      <selection activeCell="B13" sqref="B13"/>
    </sheetView>
  </sheetViews>
  <sheetFormatPr defaultRowHeight="15" x14ac:dyDescent="0.25"/>
  <sheetData>
    <row r="1" spans="2:8" x14ac:dyDescent="0.25">
      <c r="B1" t="s">
        <v>39</v>
      </c>
    </row>
    <row r="2" spans="2:8" x14ac:dyDescent="0.25">
      <c r="B2" t="s">
        <v>16</v>
      </c>
      <c r="C2" t="s">
        <v>17</v>
      </c>
      <c r="D2" t="s">
        <v>18</v>
      </c>
      <c r="E2" t="s">
        <v>19</v>
      </c>
      <c r="F2" t="s">
        <v>20</v>
      </c>
      <c r="G2" t="s">
        <v>21</v>
      </c>
      <c r="H2" t="s">
        <v>22</v>
      </c>
    </row>
    <row r="3" spans="2:8" x14ac:dyDescent="0.25">
      <c r="B3" t="s">
        <v>23</v>
      </c>
      <c r="C3">
        <v>225</v>
      </c>
      <c r="D3">
        <v>99.95</v>
      </c>
      <c r="E3" t="s">
        <v>24</v>
      </c>
      <c r="F3" t="s">
        <v>25</v>
      </c>
      <c r="G3" s="5">
        <v>42522</v>
      </c>
      <c r="H3" t="s">
        <v>26</v>
      </c>
    </row>
    <row r="4" spans="2:8" x14ac:dyDescent="0.25">
      <c r="B4" t="s">
        <v>27</v>
      </c>
      <c r="C4">
        <v>142</v>
      </c>
      <c r="D4">
        <v>99.85</v>
      </c>
      <c r="E4" t="s">
        <v>24</v>
      </c>
      <c r="F4" t="s">
        <v>28</v>
      </c>
      <c r="G4" s="5">
        <v>42614</v>
      </c>
      <c r="H4" t="s">
        <v>29</v>
      </c>
    </row>
    <row r="5" spans="2:8" x14ac:dyDescent="0.25">
      <c r="B5" t="s">
        <v>30</v>
      </c>
      <c r="C5">
        <v>240</v>
      </c>
      <c r="D5">
        <v>98.75</v>
      </c>
      <c r="E5" t="s">
        <v>31</v>
      </c>
      <c r="F5" t="s">
        <v>28</v>
      </c>
      <c r="G5" s="5">
        <v>42614</v>
      </c>
      <c r="H5" t="s">
        <v>26</v>
      </c>
    </row>
    <row r="6" spans="2:8" x14ac:dyDescent="0.25">
      <c r="B6" t="s">
        <v>32</v>
      </c>
      <c r="C6">
        <v>150</v>
      </c>
      <c r="D6">
        <v>99.25</v>
      </c>
      <c r="E6" t="s">
        <v>24</v>
      </c>
      <c r="F6" t="s">
        <v>25</v>
      </c>
      <c r="G6" s="5">
        <v>42705</v>
      </c>
      <c r="H6" t="s">
        <v>33</v>
      </c>
    </row>
    <row r="7" spans="2:8" x14ac:dyDescent="0.25">
      <c r="B7" t="s">
        <v>34</v>
      </c>
      <c r="C7">
        <v>95</v>
      </c>
      <c r="D7">
        <v>99.55</v>
      </c>
      <c r="E7" t="s">
        <v>31</v>
      </c>
      <c r="F7" t="s">
        <v>35</v>
      </c>
      <c r="G7" s="5">
        <v>42795</v>
      </c>
      <c r="H7" t="s">
        <v>36</v>
      </c>
    </row>
    <row r="8" spans="2:8" x14ac:dyDescent="0.25">
      <c r="B8" t="s">
        <v>37</v>
      </c>
      <c r="C8">
        <v>100</v>
      </c>
      <c r="D8">
        <v>99.95</v>
      </c>
      <c r="E8" t="s">
        <v>31</v>
      </c>
      <c r="F8" t="s">
        <v>25</v>
      </c>
      <c r="G8" s="5">
        <v>42705</v>
      </c>
      <c r="H8" t="s">
        <v>29</v>
      </c>
    </row>
    <row r="9" spans="2:8" x14ac:dyDescent="0.25">
      <c r="B9" t="s">
        <v>38</v>
      </c>
      <c r="C9">
        <v>25</v>
      </c>
      <c r="D9">
        <v>99</v>
      </c>
      <c r="E9" t="s">
        <v>31</v>
      </c>
      <c r="F9" t="s">
        <v>25</v>
      </c>
      <c r="G9" s="5">
        <v>42705</v>
      </c>
      <c r="H9" t="s">
        <v>26</v>
      </c>
    </row>
    <row r="12" spans="2:8" x14ac:dyDescent="0.25">
      <c r="B12" t="s">
        <v>41</v>
      </c>
    </row>
    <row r="13" spans="2:8" x14ac:dyDescent="0.25">
      <c r="B13" t="s">
        <v>20</v>
      </c>
      <c r="C13" t="s">
        <v>21</v>
      </c>
      <c r="D13" t="s">
        <v>40</v>
      </c>
    </row>
    <row r="14" spans="2:8" x14ac:dyDescent="0.25">
      <c r="B14" t="s">
        <v>28</v>
      </c>
      <c r="C14" s="5">
        <v>42614</v>
      </c>
      <c r="D14">
        <v>-9514.2000000000007</v>
      </c>
    </row>
    <row r="15" spans="2:8" x14ac:dyDescent="0.25">
      <c r="B15" t="s">
        <v>35</v>
      </c>
      <c r="C15" s="5">
        <v>42795</v>
      </c>
      <c r="D15">
        <v>-9457.25</v>
      </c>
    </row>
    <row r="16" spans="2:8" x14ac:dyDescent="0.25">
      <c r="B16" t="s">
        <v>25</v>
      </c>
      <c r="C16" s="5">
        <v>42522</v>
      </c>
      <c r="D16">
        <v>22488.75</v>
      </c>
    </row>
    <row r="17" spans="2:4" x14ac:dyDescent="0.25">
      <c r="B17" t="s">
        <v>25</v>
      </c>
      <c r="C17" s="5">
        <v>42705</v>
      </c>
      <c r="D17">
        <v>2417.5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external_csv</vt:lpstr>
      <vt:lpstr>internal_csv</vt:lpstr>
      <vt:lpstr>Sheet29</vt:lpstr>
      <vt:lpstr>Sheet27</vt:lpstr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Graham</dc:creator>
  <cp:lastModifiedBy>Graham</cp:lastModifiedBy>
  <dcterms:created xsi:type="dcterms:W3CDTF">2016-05-24T13:38:01Z</dcterms:created>
  <dcterms:modified xsi:type="dcterms:W3CDTF">2016-05-25T21:47:58Z</dcterms:modified>
</cp:coreProperties>
</file>